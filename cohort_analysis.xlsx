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5CAFA569_ED20_4208_BE00_8B167F5ADFAD_.wvu.FilterData">Data!$A$1:$D$43</definedName>
    <definedName name="SlicerCache_Table_1_Col_1">#N/A</definedName>
  </definedNames>
  <calcPr/>
  <customWorkbookViews>
    <customWorkbookView activeSheetId="0" maximized="1" windowHeight="0" windowWidth="0" guid="{5CAFA569-ED20-4208-BE00-8B167F5ADFAD}" name="Filter 1"/>
  </customWorkbookViews>
  <pivotCaches>
    <pivotCache cacheId="0" r:id="rId8"/>
    <pivotCache cacheId="1" r:id="rId9"/>
    <pivotCache cacheId="2" r:id="rId10"/>
  </pivotCaches>
  <extLst>
    <ext uri="{46BE6895-7355-4a93-B00E-2C351335B9C9}">
      <x15:slicerCaches>
        <x14:slicerCache r:id="rId11"/>
      </x15:slicerCaches>
    </ext>
  </extLst>
</workbook>
</file>

<file path=xl/sharedStrings.xml><?xml version="1.0" encoding="utf-8"?>
<sst xmlns="http://schemas.openxmlformats.org/spreadsheetml/2006/main" count="53" uniqueCount="23">
  <si>
    <t>Когортний аналіз показує поступове зниження активності користувачів у наступних місяцях після залучення.
Найвищий рівень активності спостерігається в місяць реєстрації, після чого частина користувачів припиняє взаємодію з продуктом.
Аналіз за допомогою фільтра promo_signup_flag дозволяє порівняти поведінку користувачів, залучених через промо-кампанії та органічні канали.
Промо-кампанії можуть забезпечувати більший початковий приплив користувачів, тоді як органічно залучені користувачі часто демонструють стабільніше утримання в довгостроковій перспективі</t>
  </si>
  <si>
    <r>
      <rPr>
        <rFont val="Arial"/>
        <b/>
        <color theme="1"/>
        <sz val="18.0"/>
      </rPr>
      <t xml:space="preserve">Рекомендації для бізнесу
</t>
    </r>
    <r>
      <rPr>
        <rFont val="Arial"/>
        <b/>
        <color theme="1"/>
        <sz val="14.0"/>
      </rPr>
      <t>1.</t>
    </r>
    <r>
      <rPr>
        <rFont val="Arial"/>
        <color theme="1"/>
        <sz val="14.0"/>
      </rPr>
      <t xml:space="preserve"> Проаналізувати ефективність промокампаній.
Порівняти не тільки кількість залучених користувачів, а й їхнє довгострокове утримання та активність.
</t>
    </r>
    <r>
      <rPr>
        <rFont val="Arial"/>
        <b/>
        <color theme="1"/>
        <sz val="14.0"/>
      </rPr>
      <t>2.</t>
    </r>
    <r>
      <rPr>
        <rFont val="Arial"/>
        <color theme="1"/>
        <sz val="14.0"/>
      </rPr>
      <t xml:space="preserve"> Дослідити причини відтоку промо-користувачів.
Перевірити, чи відповідає продукт очікуванням користувачів, залучених через акції та промокоди.
</t>
    </r>
    <r>
      <rPr>
        <rFont val="Arial"/>
        <b/>
        <color theme="1"/>
        <sz val="14.0"/>
      </rPr>
      <t>3.</t>
    </r>
    <r>
      <rPr>
        <rFont val="Arial"/>
        <color theme="1"/>
        <sz val="14.0"/>
      </rPr>
      <t xml:space="preserve"> Вивчити успішні практики утримання органічних користувачів.
Проаналізувати джерела органічного трафіку та поведінку користувачів із високим 
Retention Rate, щоб визначити можливості для покращення залучення.</t>
    </r>
  </si>
  <si>
    <t>promo_signup_flag</t>
  </si>
  <si>
    <t>cohort_month</t>
  </si>
  <si>
    <t>month_offset</t>
  </si>
  <si>
    <t>users_total</t>
  </si>
  <si>
    <t>SUM of users_total</t>
  </si>
  <si>
    <t>cohort_month - Month</t>
  </si>
  <si>
    <t>Grand Total</t>
  </si>
  <si>
    <t>Jan</t>
  </si>
  <si>
    <t>Feb</t>
  </si>
  <si>
    <t>Mar</t>
  </si>
  <si>
    <t>Apr</t>
  </si>
  <si>
    <t>May</t>
  </si>
  <si>
    <t>Jun</t>
  </si>
  <si>
    <t>Retention Rate</t>
  </si>
  <si>
    <t>all users</t>
  </si>
  <si>
    <t>0</t>
  </si>
  <si>
    <t>1</t>
  </si>
  <si>
    <t>2</t>
  </si>
  <si>
    <t>3</t>
  </si>
  <si>
    <t>4</t>
  </si>
  <si>
    <t>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</si>
</sst>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7">
    <font>
      <sz val="10.0"/>
      <color rgb="FF000000"/>
      <name val="Arial"/>
      <scheme val="minor"/>
    </font>
    <font>
      <sz val="16.0"/>
      <color theme="1"/>
      <name val="Arial"/>
      <scheme val="minor"/>
    </font>
    <font>
      <sz val="14.0"/>
      <color theme="1"/>
      <name val="Arial"/>
      <scheme val="minor"/>
    </font>
    <font>
      <sz val="22.0"/>
      <color theme="1"/>
      <name val="Arial"/>
      <scheme val="minor"/>
    </font>
    <font>
      <color theme="1"/>
      <name val="Arial"/>
      <scheme val="minor"/>
    </font>
    <font>
      <sz val="11.0"/>
      <color theme="1"/>
      <name val="Arial"/>
    </font>
    <font>
      <sz val="11.0"/>
      <color theme="1"/>
      <name val="'Segoe UI'"/>
    </font>
  </fonts>
  <fills count="4">
    <fill>
      <patternFill patternType="none"/>
    </fill>
    <fill>
      <patternFill patternType="lightGray"/>
    </fill>
    <fill>
      <patternFill patternType="solid">
        <fgColor rgb="FFCCCCCC"/>
        <bgColor rgb="FFCCCCCC"/>
      </patternFill>
    </fill>
    <fill>
      <patternFill patternType="solid">
        <fgColor rgb="FFB7B7B7"/>
        <bgColor rgb="FFB7B7B7"/>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vertical="top"/>
    </xf>
    <xf borderId="0" fillId="0" fontId="3" numFmtId="0" xfId="0" applyAlignment="1" applyFont="1">
      <alignment readingOrder="0"/>
    </xf>
    <xf borderId="0" fillId="0" fontId="4" numFmtId="0" xfId="0" applyAlignment="1" applyFont="1">
      <alignment readingOrder="0"/>
    </xf>
    <xf borderId="0" fillId="0" fontId="4" numFmtId="164" xfId="0" applyAlignment="1" applyFont="1" applyNumberFormat="1">
      <alignment readingOrder="0"/>
    </xf>
    <xf borderId="0" fillId="0" fontId="4" numFmtId="0" xfId="0" applyFont="1"/>
    <xf borderId="0" fillId="0" fontId="4" numFmtId="165" xfId="0" applyFont="1" applyNumberFormat="1"/>
    <xf borderId="0" fillId="0" fontId="5" numFmtId="0" xfId="0" applyAlignment="1" applyFont="1">
      <alignment readingOrder="0"/>
    </xf>
    <xf borderId="0" fillId="2" fontId="4" numFmtId="0" xfId="0" applyAlignment="1" applyFill="1" applyFont="1">
      <alignment readingOrder="0"/>
    </xf>
    <xf borderId="0" fillId="2" fontId="4" numFmtId="0" xfId="0" applyAlignment="1" applyFill="1" applyFont="1">
      <alignment readingOrder="0"/>
    </xf>
    <xf borderId="0" fillId="3" fontId="4" numFmtId="165" xfId="0" applyFill="1" applyFont="1" applyNumberFormat="1"/>
    <xf borderId="0" fillId="0" fontId="4" numFmtId="9" xfId="0" applyFont="1" applyNumberFormat="1"/>
    <xf borderId="0" fillId="0" fontId="6" numFmtId="9" xfId="0" applyFont="1" applyNumberFormat="1"/>
    <xf borderId="0" fillId="0" fontId="4" numFmtId="3"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904875</xdr:colOff>
      <xdr:row>10</xdr:row>
      <xdr:rowOff>209550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NonDate="0" containsDate="1" containsString="0">
        <d v="2025-01-01T00:00:00Z"/>
        <d v="2025-02-01T00:00:00Z"/>
        <d v="2025-03-01T00:00:00Z"/>
        <d v="2025-04-01T00:00:00Z"/>
        <d v="2025-05-01T00:00:00Z"/>
        <d v="2025-06-01T00:00:00Z"/>
      </sharedItems>
      <fieldGroup par="4"/>
    </cacheField>
    <cacheField name="month_offset" numFmtId="0">
      <sharedItems containsSemiMixedTypes="0" containsString="0" containsNumber="1" containsInteger="1">
        <n v="0.0"/>
        <n v="1.0"/>
        <n v="2.0"/>
        <n v="3.0"/>
        <n v="4.0"/>
        <n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 name="cohort_month2" databaseField="0">
      <fieldGroup base="1">
        <rangePr autoStart="0" autoEnd="0" groupBy="months" startDate="2025-01-01T00:00:00Z" endDate="2025-06-02T00:00:00Z"/>
        <groupItems>
          <s v="&lt;01/01/25"/>
          <s v="Jan"/>
          <s v="Feb"/>
          <s v="Mar"/>
          <s v="Apr"/>
          <s v="May"/>
          <s v="Jun"/>
          <s v="Jul"/>
          <s v="Aug"/>
          <s v="Sep"/>
          <s v="Oct"/>
          <s v="Nov"/>
          <s v="Dec"/>
          <s v="&gt;06/02/25"/>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NonDate="0" containsDate="1" containsString="0">
        <d v="2025-01-01T00:00:00Z"/>
        <d v="2025-02-01T00:00:00Z"/>
        <d v="2025-03-01T00:00:00Z"/>
        <d v="2025-04-01T00:00:00Z"/>
        <d v="2025-05-01T00:00:00Z"/>
        <d v="2025-06-01T00:00:00Z"/>
      </sharedItems>
      <fieldGroup par="4"/>
    </cacheField>
    <cacheField name="month_offset" numFmtId="0">
      <sharedItems containsSemiMixedTypes="0" containsString="0" containsNumber="1" containsInteger="1">
        <n v="0.0"/>
        <n v="1.0"/>
        <n v="2.0"/>
        <n v="3.0"/>
        <n v="4.0"/>
        <n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 name="cohort_month2" databaseField="0">
      <fieldGroup base="1">
        <rangePr autoStart="0" autoEnd="0" groupBy="months" startDate="2025-01-01T00:00:00Z" endDate="2025-06-02T00:00:00Z"/>
        <groupItems>
          <s v="&lt;01/01/25"/>
          <s v="Jan"/>
          <s v="Feb"/>
          <s v="Mar"/>
          <s v="Apr"/>
          <s v="May"/>
          <s v="Jun"/>
          <s v="Jul"/>
          <s v="Aug"/>
          <s v="Sep"/>
          <s v="Oct"/>
          <s v="Nov"/>
          <s v="Dec"/>
          <s v="&gt;06/02/25"/>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NonDate="0" containsDate="1" containsString="0">
        <d v="2025-01-01T00:00:00Z"/>
        <d v="2025-02-01T00:00:00Z"/>
        <d v="2025-03-01T00:00:00Z"/>
        <d v="2025-04-01T00:00:00Z"/>
        <d v="2025-05-01T00:00:00Z"/>
        <d v="2025-06-01T00:00:00Z"/>
      </sharedItems>
      <fieldGroup par="4"/>
    </cacheField>
    <cacheField name="month_offset" numFmtId="0">
      <sharedItems containsSemiMixedTypes="0" containsString="0" containsNumber="1" containsInteger="1">
        <n v="0.0"/>
        <n v="1.0"/>
        <n v="2.0"/>
        <n v="3.0"/>
        <n v="4.0"/>
        <n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 name="cohort_month2" databaseField="0">
      <fieldGroup base="1">
        <rangePr autoStart="0" autoEnd="0" groupBy="months" startDate="2025-01-01T00:00:00Z" endDate="2025-06-02T00:00:00Z"/>
        <groupItems>
          <s v="&lt;01/01/25"/>
          <s v="Jan"/>
          <s v="Feb"/>
          <s v="Mar"/>
          <s v="Apr"/>
          <s v="May"/>
          <s v="Jun"/>
          <s v="Jul"/>
          <s v="Aug"/>
          <s v="Sep"/>
          <s v="Oct"/>
          <s v="Nov"/>
          <s v="Dec"/>
          <s v="&gt;06/02/25"/>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ta" cacheId="1" dataCaption="" compact="0" compactData="0">
  <location ref="C226:J234" firstHeaderRow="0" firstDataRow="1" firstDataCol="1"/>
  <pivotFields>
    <pivotField name="promo_signup_flag" compact="0" outline="0" multipleItemSelectionAllowed="1" showAll="0">
      <items>
        <item x="0"/>
        <item x="1"/>
        <item t="default"/>
      </items>
    </pivotField>
    <pivotField name="cohort_month" compact="0" numFmtId="164" outline="0" multipleItemSelectionAllowed="1" showAll="0">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ohort_month2" axis="axisRow" compact="0" outline="0" multipleItemSelectionAllowed="1" showAll="0" sortType="ascending">
      <items>
        <item x="0"/>
        <item x="1"/>
        <item x="2"/>
        <item x="3"/>
        <item x="4"/>
        <item x="5"/>
        <item x="6"/>
        <item x="7"/>
        <item x="8"/>
        <item x="9"/>
        <item x="10"/>
        <item x="11"/>
        <item x="12"/>
        <item x="13"/>
        <item t="default"/>
      </items>
    </pivotField>
  </pivotFields>
  <rowFields>
    <field x="4"/>
  </rowFields>
  <colFields>
    <field x="2"/>
  </colFields>
  <dataFields>
    <dataField name="SUM of users_total" fld="3" baseField="0"/>
  </dataFields>
</pivotTableDefinition>
</file>

<file path=xl/pivotTables/pivotTable2.xml><?xml version="1.0" encoding="utf-8"?>
<pivotTableDefinition xmlns="http://schemas.openxmlformats.org/spreadsheetml/2006/main" name="Data 2" cacheId="2" dataCaption="" compact="0" compactData="0">
  <location ref="C243:J251" firstHeaderRow="0" firstDataRow="1" firstDataCol="1"/>
  <pivotFields>
    <pivotField name="promo_signup_flag" compact="0" outline="0" multipleItemSelectionAllowed="1" showAll="0">
      <items>
        <item x="0"/>
        <item x="1"/>
        <item t="default"/>
      </items>
    </pivotField>
    <pivotField name="cohort_month" compact="0" numFmtId="164" outline="0" multipleItemSelectionAllowed="1" showAll="0">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ohort_month2" axis="axisRow" compact="0" outline="0" multipleItemSelectionAllowed="1" showAll="0" sortType="ascending">
      <items>
        <item x="0"/>
        <item x="1"/>
        <item x="2"/>
        <item x="3"/>
        <item x="4"/>
        <item x="5"/>
        <item x="6"/>
        <item x="7"/>
        <item x="8"/>
        <item x="9"/>
        <item x="10"/>
        <item x="11"/>
        <item x="12"/>
        <item x="13"/>
        <item t="default"/>
      </items>
    </pivotField>
  </pivotFields>
  <rowFields>
    <field x="4"/>
  </rowFields>
  <colFields>
    <field x="2"/>
  </colFields>
  <dataFields>
    <dataField name="SUM of users_total" fld="3" baseField="0"/>
  </dataFields>
</pivotTableDefinition>
</file>

<file path=xl/pivotTables/pivotTable3.xml><?xml version="1.0" encoding="utf-8"?>
<pivotTableDefinition xmlns="http://schemas.openxmlformats.org/spreadsheetml/2006/main" name="Cohort_tables" cacheId="0" dataCaption="" compact="0" compactData="0">
  <location ref="B2:I10" firstHeaderRow="0" firstDataRow="1" firstDataCol="1"/>
  <pivotFields>
    <pivotField name="promo_signup_flag" compact="0" outline="0" multipleItemSelectionAllowed="1" showAll="0">
      <items>
        <item x="0"/>
        <item x="1"/>
        <item t="default"/>
      </items>
    </pivotField>
    <pivotField name="cohort_month" compact="0" numFmtId="164" outline="0" multipleItemSelectionAllowed="1" showAll="0">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cohort_month2" axis="axisRow" compact="0" outline="0" multipleItemSelectionAllowed="1" showAll="0" sortType="ascending">
      <items>
        <item x="0"/>
        <item x="1"/>
        <item x="2"/>
        <item x="3"/>
        <item x="4"/>
        <item x="5"/>
        <item x="6"/>
        <item x="7"/>
        <item x="8"/>
        <item x="9"/>
        <item x="10"/>
        <item x="11"/>
        <item x="12"/>
        <item x="13"/>
        <item t="default"/>
      </items>
    </pivotField>
  </pivotFields>
  <rowFields>
    <field x="4"/>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3" max="3" width="17.25"/>
  </cols>
  <sheetData>
    <row r="1">
      <c r="A1" s="5" t="s">
        <v>2</v>
      </c>
      <c r="B1" s="5" t="s">
        <v>3</v>
      </c>
      <c r="C1" s="5" t="s">
        <v>4</v>
      </c>
      <c r="D1" s="5" t="s">
        <v>5</v>
      </c>
    </row>
    <row r="2">
      <c r="A2" s="5">
        <v>0.0</v>
      </c>
      <c r="B2" s="6">
        <v>45658.0</v>
      </c>
      <c r="C2" s="5">
        <v>0.0</v>
      </c>
      <c r="D2" s="5">
        <v>70.0</v>
      </c>
    </row>
    <row r="3">
      <c r="A3" s="5">
        <v>0.0</v>
      </c>
      <c r="B3" s="6">
        <v>45658.0</v>
      </c>
      <c r="C3" s="5">
        <v>1.0</v>
      </c>
      <c r="D3" s="5">
        <v>58.0</v>
      </c>
    </row>
    <row r="4">
      <c r="A4" s="5">
        <v>0.0</v>
      </c>
      <c r="B4" s="6">
        <v>45658.0</v>
      </c>
      <c r="C4" s="5">
        <v>2.0</v>
      </c>
      <c r="D4" s="5">
        <v>54.0</v>
      </c>
    </row>
    <row r="5">
      <c r="A5" s="5">
        <v>0.0</v>
      </c>
      <c r="B5" s="6">
        <v>45658.0</v>
      </c>
      <c r="C5" s="5">
        <v>3.0</v>
      </c>
      <c r="D5" s="5">
        <v>52.0</v>
      </c>
    </row>
    <row r="6">
      <c r="A6" s="5">
        <v>0.0</v>
      </c>
      <c r="B6" s="6">
        <v>45658.0</v>
      </c>
      <c r="C6" s="5">
        <v>4.0</v>
      </c>
      <c r="D6" s="5">
        <v>43.0</v>
      </c>
    </row>
    <row r="7">
      <c r="A7" s="5">
        <v>0.0</v>
      </c>
      <c r="B7" s="6">
        <v>45658.0</v>
      </c>
      <c r="C7" s="5">
        <v>5.0</v>
      </c>
      <c r="D7" s="5">
        <v>39.0</v>
      </c>
    </row>
    <row r="8">
      <c r="A8" s="5">
        <v>0.0</v>
      </c>
      <c r="B8" s="6">
        <v>45689.0</v>
      </c>
      <c r="C8" s="5">
        <v>0.0</v>
      </c>
      <c r="D8" s="5">
        <v>63.0</v>
      </c>
    </row>
    <row r="9">
      <c r="A9" s="5">
        <v>0.0</v>
      </c>
      <c r="B9" s="6">
        <v>45689.0</v>
      </c>
      <c r="C9" s="5">
        <v>1.0</v>
      </c>
      <c r="D9" s="5">
        <v>46.0</v>
      </c>
    </row>
    <row r="10">
      <c r="A10" s="5">
        <v>0.0</v>
      </c>
      <c r="B10" s="6">
        <v>45689.0</v>
      </c>
      <c r="C10" s="5">
        <v>2.0</v>
      </c>
      <c r="D10" s="5">
        <v>48.0</v>
      </c>
    </row>
    <row r="11">
      <c r="A11" s="5">
        <v>0.0</v>
      </c>
      <c r="B11" s="6">
        <v>45689.0</v>
      </c>
      <c r="C11" s="5">
        <v>3.0</v>
      </c>
      <c r="D11" s="5">
        <v>49.0</v>
      </c>
    </row>
    <row r="12">
      <c r="A12" s="5">
        <v>0.0</v>
      </c>
      <c r="B12" s="6">
        <v>45689.0</v>
      </c>
      <c r="C12" s="5">
        <v>4.0</v>
      </c>
      <c r="D12" s="5">
        <v>43.0</v>
      </c>
    </row>
    <row r="13">
      <c r="A13" s="5">
        <v>0.0</v>
      </c>
      <c r="B13" s="6">
        <v>45717.0</v>
      </c>
      <c r="C13" s="5">
        <v>0.0</v>
      </c>
      <c r="D13" s="5">
        <v>51.0</v>
      </c>
    </row>
    <row r="14">
      <c r="A14" s="5">
        <v>0.0</v>
      </c>
      <c r="B14" s="6">
        <v>45717.0</v>
      </c>
      <c r="C14" s="5">
        <v>1.0</v>
      </c>
      <c r="D14" s="5">
        <v>41.0</v>
      </c>
    </row>
    <row r="15">
      <c r="A15" s="5">
        <v>0.0</v>
      </c>
      <c r="B15" s="6">
        <v>45717.0</v>
      </c>
      <c r="C15" s="5">
        <v>2.0</v>
      </c>
      <c r="D15" s="5">
        <v>47.0</v>
      </c>
    </row>
    <row r="16">
      <c r="A16" s="5">
        <v>0.0</v>
      </c>
      <c r="B16" s="6">
        <v>45717.0</v>
      </c>
      <c r="C16" s="5">
        <v>3.0</v>
      </c>
      <c r="D16" s="5">
        <v>41.0</v>
      </c>
    </row>
    <row r="17">
      <c r="A17" s="5">
        <v>0.0</v>
      </c>
      <c r="B17" s="6">
        <v>45748.0</v>
      </c>
      <c r="C17" s="5">
        <v>0.0</v>
      </c>
      <c r="D17" s="5">
        <v>61.0</v>
      </c>
    </row>
    <row r="18">
      <c r="A18" s="5">
        <v>0.0</v>
      </c>
      <c r="B18" s="6">
        <v>45748.0</v>
      </c>
      <c r="C18" s="5">
        <v>1.0</v>
      </c>
      <c r="D18" s="5">
        <v>50.0</v>
      </c>
    </row>
    <row r="19">
      <c r="A19" s="5">
        <v>0.0</v>
      </c>
      <c r="B19" s="6">
        <v>45748.0</v>
      </c>
      <c r="C19" s="5">
        <v>2.0</v>
      </c>
      <c r="D19" s="5">
        <v>47.0</v>
      </c>
    </row>
    <row r="20">
      <c r="A20" s="5">
        <v>0.0</v>
      </c>
      <c r="B20" s="6">
        <v>45778.0</v>
      </c>
      <c r="C20" s="5">
        <v>0.0</v>
      </c>
      <c r="D20" s="5">
        <v>63.0</v>
      </c>
    </row>
    <row r="21">
      <c r="A21" s="5">
        <v>0.0</v>
      </c>
      <c r="B21" s="6">
        <v>45778.0</v>
      </c>
      <c r="C21" s="5">
        <v>1.0</v>
      </c>
      <c r="D21" s="5">
        <v>55.0</v>
      </c>
    </row>
    <row r="22">
      <c r="A22" s="5">
        <v>0.0</v>
      </c>
      <c r="B22" s="6">
        <v>45809.0</v>
      </c>
      <c r="C22" s="5">
        <v>0.0</v>
      </c>
      <c r="D22" s="5">
        <v>50.0</v>
      </c>
    </row>
    <row r="23">
      <c r="A23" s="5">
        <v>1.0</v>
      </c>
      <c r="B23" s="6">
        <v>45658.0</v>
      </c>
      <c r="C23" s="5">
        <v>0.0</v>
      </c>
      <c r="D23" s="5">
        <v>34.0</v>
      </c>
    </row>
    <row r="24">
      <c r="A24" s="5">
        <v>1.0</v>
      </c>
      <c r="B24" s="6">
        <v>45658.0</v>
      </c>
      <c r="C24" s="5">
        <v>1.0</v>
      </c>
      <c r="D24" s="5">
        <v>21.0</v>
      </c>
    </row>
    <row r="25">
      <c r="A25" s="5">
        <v>1.0</v>
      </c>
      <c r="B25" s="6">
        <v>45658.0</v>
      </c>
      <c r="C25" s="5">
        <v>2.0</v>
      </c>
      <c r="D25" s="5">
        <v>17.0</v>
      </c>
    </row>
    <row r="26">
      <c r="A26" s="5">
        <v>1.0</v>
      </c>
      <c r="B26" s="6">
        <v>45658.0</v>
      </c>
      <c r="C26" s="5">
        <v>3.0</v>
      </c>
      <c r="D26" s="5">
        <v>3.0</v>
      </c>
    </row>
    <row r="27">
      <c r="A27" s="5">
        <v>1.0</v>
      </c>
      <c r="B27" s="6">
        <v>45658.0</v>
      </c>
      <c r="C27" s="5">
        <v>4.0</v>
      </c>
      <c r="D27" s="5">
        <v>6.0</v>
      </c>
    </row>
    <row r="28">
      <c r="A28" s="5">
        <v>1.0</v>
      </c>
      <c r="B28" s="6">
        <v>45658.0</v>
      </c>
      <c r="C28" s="5">
        <v>5.0</v>
      </c>
      <c r="D28" s="5">
        <v>3.0</v>
      </c>
    </row>
    <row r="29">
      <c r="A29" s="5">
        <v>1.0</v>
      </c>
      <c r="B29" s="6">
        <v>45689.0</v>
      </c>
      <c r="C29" s="5">
        <v>0.0</v>
      </c>
      <c r="D29" s="5">
        <v>41.0</v>
      </c>
    </row>
    <row r="30">
      <c r="A30" s="5">
        <v>1.0</v>
      </c>
      <c r="B30" s="6">
        <v>45689.0</v>
      </c>
      <c r="C30" s="5">
        <v>1.0</v>
      </c>
      <c r="D30" s="5">
        <v>24.0</v>
      </c>
    </row>
    <row r="31">
      <c r="A31" s="5">
        <v>1.0</v>
      </c>
      <c r="B31" s="6">
        <v>45689.0</v>
      </c>
      <c r="C31" s="5">
        <v>2.0</v>
      </c>
      <c r="D31" s="5">
        <v>17.0</v>
      </c>
    </row>
    <row r="32">
      <c r="A32" s="5">
        <v>1.0</v>
      </c>
      <c r="B32" s="6">
        <v>45689.0</v>
      </c>
      <c r="C32" s="5">
        <v>3.0</v>
      </c>
      <c r="D32" s="5">
        <v>13.0</v>
      </c>
    </row>
    <row r="33">
      <c r="A33" s="5">
        <v>1.0</v>
      </c>
      <c r="B33" s="6">
        <v>45689.0</v>
      </c>
      <c r="C33" s="5">
        <v>4.0</v>
      </c>
      <c r="D33" s="5">
        <v>8.0</v>
      </c>
    </row>
    <row r="34">
      <c r="A34" s="5">
        <v>1.0</v>
      </c>
      <c r="B34" s="6">
        <v>45717.0</v>
      </c>
      <c r="C34" s="5">
        <v>0.0</v>
      </c>
      <c r="D34" s="5">
        <v>31.0</v>
      </c>
    </row>
    <row r="35">
      <c r="A35" s="5">
        <v>1.0</v>
      </c>
      <c r="B35" s="6">
        <v>45717.0</v>
      </c>
      <c r="C35" s="5">
        <v>1.0</v>
      </c>
      <c r="D35" s="5">
        <v>18.0</v>
      </c>
    </row>
    <row r="36">
      <c r="A36" s="5">
        <v>1.0</v>
      </c>
      <c r="B36" s="6">
        <v>45717.0</v>
      </c>
      <c r="C36" s="5">
        <v>2.0</v>
      </c>
      <c r="D36" s="5">
        <v>14.0</v>
      </c>
    </row>
    <row r="37">
      <c r="A37" s="5">
        <v>1.0</v>
      </c>
      <c r="B37" s="6">
        <v>45717.0</v>
      </c>
      <c r="C37" s="5">
        <v>3.0</v>
      </c>
      <c r="D37" s="5">
        <v>11.0</v>
      </c>
    </row>
    <row r="38">
      <c r="A38" s="5">
        <v>1.0</v>
      </c>
      <c r="B38" s="6">
        <v>45748.0</v>
      </c>
      <c r="C38" s="5">
        <v>0.0</v>
      </c>
      <c r="D38" s="5">
        <v>44.0</v>
      </c>
    </row>
    <row r="39">
      <c r="A39" s="5">
        <v>1.0</v>
      </c>
      <c r="B39" s="6">
        <v>45748.0</v>
      </c>
      <c r="C39" s="5">
        <v>1.0</v>
      </c>
      <c r="D39" s="5">
        <v>24.0</v>
      </c>
    </row>
    <row r="40">
      <c r="A40" s="5">
        <v>1.0</v>
      </c>
      <c r="B40" s="6">
        <v>45748.0</v>
      </c>
      <c r="C40" s="5">
        <v>2.0</v>
      </c>
      <c r="D40" s="5">
        <v>14.0</v>
      </c>
    </row>
    <row r="41">
      <c r="A41" s="5">
        <v>1.0</v>
      </c>
      <c r="B41" s="6">
        <v>45778.0</v>
      </c>
      <c r="C41" s="5">
        <v>0.0</v>
      </c>
      <c r="D41" s="5">
        <v>45.0</v>
      </c>
    </row>
    <row r="42">
      <c r="A42" s="5">
        <v>1.0</v>
      </c>
      <c r="B42" s="6">
        <v>45778.0</v>
      </c>
      <c r="C42" s="5">
        <v>1.0</v>
      </c>
      <c r="D42" s="5">
        <v>21.0</v>
      </c>
    </row>
    <row r="43">
      <c r="A43" s="5">
        <v>1.0</v>
      </c>
      <c r="B43" s="6">
        <v>45809.0</v>
      </c>
      <c r="C43" s="5">
        <v>0.0</v>
      </c>
      <c r="D43" s="5">
        <v>47.0</v>
      </c>
    </row>
    <row r="226"/>
    <row r="227"/>
    <row r="228"/>
    <row r="229"/>
    <row r="230"/>
    <row r="231"/>
    <row r="232"/>
    <row r="233"/>
    <row r="234"/>
    <row r="243"/>
    <row r="244"/>
    <row r="245"/>
    <row r="246"/>
    <row r="247"/>
    <row r="248"/>
    <row r="249"/>
    <row r="250"/>
    <row r="251"/>
  </sheetData>
  <customSheetViews>
    <customSheetView guid="{5CAFA569-ED20-4208-BE00-8B167F5ADFAD}" filter="1" showAutoFilter="1">
      <autoFilter ref="$A$1:$D$43"/>
    </customSheetView>
  </customSheetViews>
  <conditionalFormatting sqref="D228:I233 D245:I250">
    <cfRule type="colorScale" priority="1">
      <colorScale>
        <cfvo type="min"/>
        <cfvo type="max"/>
        <color rgb="FF9FC5E8"/>
        <color rgb="FF6AA84F"/>
      </colorScale>
    </cfRule>
  </conditionalFormatting>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25"/>
    <col customWidth="1" min="2" max="2" width="18.25"/>
    <col customWidth="1" min="3" max="3" width="12.38"/>
  </cols>
  <sheetData>
    <row r="2"/>
    <row r="3"/>
    <row r="4"/>
    <row r="5"/>
    <row r="6"/>
    <row r="7"/>
    <row r="8"/>
    <row r="9"/>
    <row r="10"/>
    <row r="13">
      <c r="B13" s="9" t="s">
        <v>15</v>
      </c>
    </row>
    <row r="15">
      <c r="B15" s="10" t="s">
        <v>16</v>
      </c>
      <c r="C15" s="11" t="s">
        <v>17</v>
      </c>
      <c r="D15" s="11" t="s">
        <v>18</v>
      </c>
      <c r="E15" s="11" t="s">
        <v>19</v>
      </c>
      <c r="F15" s="11" t="s">
        <v>20</v>
      </c>
      <c r="G15" s="11" t="s">
        <v>21</v>
      </c>
      <c r="H15" s="11" t="s">
        <v>22</v>
      </c>
    </row>
    <row r="16">
      <c r="B16" s="12" t="s">
        <v>9</v>
      </c>
      <c r="C16" s="13">
        <f t="shared" ref="C16:C21" si="2">C4/C4</f>
        <v>1</v>
      </c>
      <c r="D16" s="14">
        <f t="shared" ref="D16:H16" si="1">IF(D4="","",D4/$C4)</f>
        <v>0.7596153846</v>
      </c>
      <c r="E16" s="14">
        <f t="shared" si="1"/>
        <v>0.6826923077</v>
      </c>
      <c r="F16" s="14">
        <f t="shared" si="1"/>
        <v>0.5288461538</v>
      </c>
      <c r="G16" s="14">
        <f t="shared" si="1"/>
        <v>0.4711538462</v>
      </c>
      <c r="H16" s="14">
        <f t="shared" si="1"/>
        <v>0.4038461538</v>
      </c>
    </row>
    <row r="17">
      <c r="B17" s="12" t="s">
        <v>10</v>
      </c>
      <c r="C17" s="13">
        <f t="shared" si="2"/>
        <v>1</v>
      </c>
      <c r="D17" s="14">
        <f t="shared" ref="D17:H17" si="3">IF(D5="","",D5/$C5)</f>
        <v>0.6730769231</v>
      </c>
      <c r="E17" s="14">
        <f t="shared" si="3"/>
        <v>0.625</v>
      </c>
      <c r="F17" s="14">
        <f t="shared" si="3"/>
        <v>0.5961538462</v>
      </c>
      <c r="G17" s="14">
        <f t="shared" si="3"/>
        <v>0.4903846154</v>
      </c>
      <c r="H17" s="14" t="str">
        <f t="shared" si="3"/>
        <v/>
      </c>
    </row>
    <row r="18">
      <c r="B18" s="12" t="s">
        <v>11</v>
      </c>
      <c r="C18" s="13">
        <f t="shared" si="2"/>
        <v>1</v>
      </c>
      <c r="D18" s="14">
        <f t="shared" ref="D18:H18" si="4">IF(D6="","",D6/$C6)</f>
        <v>0.7195121951</v>
      </c>
      <c r="E18" s="14">
        <f t="shared" si="4"/>
        <v>0.743902439</v>
      </c>
      <c r="F18" s="14">
        <f t="shared" si="4"/>
        <v>0.6341463415</v>
      </c>
      <c r="G18" s="14" t="str">
        <f t="shared" si="4"/>
        <v/>
      </c>
      <c r="H18" s="14" t="str">
        <f t="shared" si="4"/>
        <v/>
      </c>
    </row>
    <row r="19">
      <c r="B19" s="12" t="s">
        <v>12</v>
      </c>
      <c r="C19" s="13">
        <f t="shared" si="2"/>
        <v>1</v>
      </c>
      <c r="D19" s="14">
        <f t="shared" ref="D19:H19" si="5">IF(D7="","",D7/$C7)</f>
        <v>0.7047619048</v>
      </c>
      <c r="E19" s="14">
        <f t="shared" si="5"/>
        <v>0.580952381</v>
      </c>
      <c r="F19" s="14" t="str">
        <f t="shared" si="5"/>
        <v/>
      </c>
      <c r="G19" s="14" t="str">
        <f t="shared" si="5"/>
        <v/>
      </c>
      <c r="H19" s="14" t="str">
        <f t="shared" si="5"/>
        <v/>
      </c>
    </row>
    <row r="20">
      <c r="B20" s="12" t="s">
        <v>13</v>
      </c>
      <c r="C20" s="13">
        <f t="shared" si="2"/>
        <v>1</v>
      </c>
      <c r="D20" s="14">
        <f t="shared" ref="D20:H20" si="6">IF(D8="","",D8/$C8)</f>
        <v>0.7037037037</v>
      </c>
      <c r="E20" s="14" t="str">
        <f t="shared" si="6"/>
        <v/>
      </c>
      <c r="F20" s="14" t="str">
        <f t="shared" si="6"/>
        <v/>
      </c>
      <c r="G20" s="14" t="str">
        <f t="shared" si="6"/>
        <v/>
      </c>
      <c r="H20" s="14" t="str">
        <f t="shared" si="6"/>
        <v/>
      </c>
    </row>
    <row r="21">
      <c r="B21" s="12" t="s">
        <v>14</v>
      </c>
      <c r="C21" s="13">
        <f t="shared" si="2"/>
        <v>1</v>
      </c>
      <c r="D21" s="14" t="str">
        <f t="shared" ref="D21:H21" si="7">IF(D9="","",D9/$C9)</f>
        <v/>
      </c>
      <c r="E21" s="14" t="str">
        <f t="shared" si="7"/>
        <v/>
      </c>
      <c r="F21" s="14" t="str">
        <f t="shared" si="7"/>
        <v/>
      </c>
      <c r="G21" s="14" t="str">
        <f t="shared" si="7"/>
        <v/>
      </c>
      <c r="H21" s="14" t="str">
        <f t="shared" si="7"/>
        <v/>
      </c>
    </row>
    <row r="22">
      <c r="C22" s="15"/>
      <c r="D22" s="15"/>
      <c r="E22" s="15"/>
      <c r="F22" s="15"/>
      <c r="G22" s="15"/>
      <c r="H22" s="15"/>
    </row>
  </sheetData>
  <conditionalFormatting sqref="C4:H9">
    <cfRule type="colorScale" priority="1">
      <colorScale>
        <cfvo type="min"/>
        <cfvo type="max"/>
        <color rgb="FF9FC5E8"/>
        <color rgb="FF6AA84F"/>
      </colorScale>
    </cfRule>
  </conditionalFormatting>
  <conditionalFormatting sqref="C16:H21">
    <cfRule type="colorScale" priority="2">
      <colorScale>
        <cfvo type="min"/>
        <cfvo type="max"/>
        <color rgb="FF6FA8DC"/>
        <color rgb="FF6AA84F"/>
      </colorScale>
    </cfRule>
  </conditionalFormatting>
  <printOptions gridLines="1" horizontalCentered="1"/>
  <pageMargins bottom="0.75" footer="0.0" header="0.0" left="0.25" right="0.25" top="0.75"/>
  <pageSetup fitToHeight="0" cellComments="atEnd" orientation="landscape" pageOrder="overThenDown" paperHeight="3.5in" paperWidth="8.26771653543307in"/>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8" max="8" width="14.88"/>
  </cols>
  <sheetData>
    <row r="2">
      <c r="B2" s="1" t="s">
        <v>0</v>
      </c>
      <c r="I2" s="2" t="s">
        <v>1</v>
      </c>
    </row>
    <row r="3">
      <c r="B3" s="3"/>
      <c r="C3" s="3"/>
      <c r="D3" s="3"/>
      <c r="E3" s="3"/>
      <c r="F3" s="3"/>
      <c r="G3" s="3"/>
      <c r="H3" s="3"/>
      <c r="I3" s="4"/>
      <c r="J3" s="4"/>
    </row>
    <row r="4">
      <c r="B4" s="3"/>
      <c r="C4" s="3"/>
      <c r="D4" s="3"/>
      <c r="E4" s="3"/>
      <c r="F4" s="3"/>
      <c r="G4" s="3"/>
      <c r="H4" s="3"/>
      <c r="I4" s="4"/>
      <c r="J4" s="4"/>
    </row>
    <row r="5">
      <c r="B5" s="3"/>
      <c r="C5" s="3"/>
      <c r="D5" s="3"/>
      <c r="E5" s="3"/>
      <c r="F5" s="3"/>
      <c r="G5" s="3"/>
      <c r="H5" s="3"/>
      <c r="I5" s="4"/>
      <c r="J5" s="4"/>
    </row>
    <row r="6">
      <c r="B6" s="3"/>
      <c r="C6" s="3"/>
      <c r="D6" s="3"/>
      <c r="E6" s="3"/>
      <c r="F6" s="3"/>
      <c r="G6" s="3"/>
      <c r="H6" s="3"/>
      <c r="I6" s="4"/>
      <c r="J6" s="4"/>
    </row>
    <row r="7">
      <c r="B7" s="3"/>
      <c r="C7" s="3"/>
      <c r="D7" s="3"/>
      <c r="E7" s="3"/>
      <c r="F7" s="3"/>
      <c r="G7" s="3"/>
      <c r="H7" s="3"/>
      <c r="I7" s="4"/>
      <c r="J7" s="4"/>
    </row>
    <row r="8">
      <c r="B8" s="3"/>
      <c r="C8" s="3"/>
      <c r="D8" s="3"/>
      <c r="E8" s="3"/>
      <c r="F8" s="3"/>
      <c r="G8" s="3"/>
      <c r="H8" s="3"/>
      <c r="I8" s="4"/>
      <c r="J8" s="4"/>
    </row>
    <row r="9">
      <c r="B9" s="3"/>
      <c r="C9" s="3"/>
      <c r="D9" s="3"/>
      <c r="E9" s="3"/>
      <c r="F9" s="3"/>
      <c r="G9" s="3"/>
      <c r="H9" s="3"/>
      <c r="I9" s="4"/>
      <c r="J9" s="4"/>
    </row>
    <row r="10">
      <c r="B10" s="3"/>
      <c r="C10" s="3"/>
      <c r="D10" s="3"/>
      <c r="E10" s="3"/>
      <c r="F10" s="3"/>
      <c r="G10" s="3"/>
      <c r="H10" s="3"/>
      <c r="I10" s="4"/>
      <c r="J10" s="4"/>
    </row>
    <row r="11">
      <c r="B11" s="3"/>
      <c r="C11" s="3"/>
      <c r="D11" s="3"/>
      <c r="E11" s="3"/>
      <c r="F11" s="3"/>
      <c r="G11" s="3"/>
      <c r="H11" s="3"/>
      <c r="I11" s="4"/>
      <c r="J11" s="4"/>
    </row>
    <row r="12">
      <c r="B12" s="4"/>
      <c r="C12" s="4"/>
      <c r="D12" s="4"/>
      <c r="E12" s="4"/>
      <c r="F12" s="4"/>
      <c r="G12" s="4"/>
      <c r="H12" s="4"/>
      <c r="I12" s="4"/>
      <c r="J12" s="4"/>
    </row>
    <row r="13">
      <c r="B13" s="4"/>
      <c r="C13" s="4"/>
      <c r="D13" s="4"/>
      <c r="E13" s="4"/>
      <c r="F13" s="4"/>
      <c r="G13" s="4"/>
      <c r="H13" s="4"/>
      <c r="I13" s="4"/>
      <c r="J13" s="4"/>
    </row>
    <row r="14">
      <c r="B14" s="4"/>
      <c r="C14" s="4"/>
      <c r="D14" s="4"/>
      <c r="E14" s="4"/>
      <c r="F14" s="4"/>
      <c r="G14" s="4"/>
      <c r="H14" s="4"/>
      <c r="I14" s="4"/>
      <c r="J14" s="4"/>
    </row>
    <row r="15">
      <c r="B15" s="4"/>
      <c r="C15" s="4"/>
      <c r="D15" s="4"/>
      <c r="E15" s="4"/>
      <c r="F15" s="4"/>
      <c r="G15" s="4"/>
      <c r="H15" s="4"/>
      <c r="I15" s="4"/>
      <c r="J15" s="4"/>
    </row>
    <row r="16">
      <c r="B16" s="4"/>
      <c r="C16" s="4"/>
      <c r="D16" s="4"/>
      <c r="E16" s="4"/>
      <c r="F16" s="4"/>
      <c r="G16" s="4"/>
      <c r="H16" s="4"/>
      <c r="I16" s="4"/>
      <c r="J16" s="4"/>
    </row>
  </sheetData>
  <mergeCells count="2">
    <mergeCell ref="B2:H2"/>
    <mergeCell ref="I2:O2"/>
  </mergeCells>
  <drawing r:id="rId1"/>
</worksheet>
</file>